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<sst xmlns="http://schemas.openxmlformats.org/spreadsheetml/2006/main" count="53" uniqueCount="51">
  <si>
    <t>Product name</t>
  </si>
  <si>
    <t>Product description</t>
  </si>
  <si>
    <t>Product amount</t>
  </si>
  <si>
    <t>Product unit cost inc. Tax (€)</t>
  </si>
  <si>
    <t>Product total cost (€)</t>
  </si>
  <si>
    <t>Running total (€ with tax and shipping)</t>
  </si>
  <si>
    <t>Notes</t>
  </si>
  <si>
    <t>LINKS</t>
  </si>
  <si>
    <t>OLED Module 0.91" 128x32</t>
  </si>
  <si>
    <t>OLED display module</t>
  </si>
  <si>
    <t>https://grobotronics.com/oled-module-0.91-128x32-i2c-white.html</t>
  </si>
  <si>
    <t>Rotary Encoder 12mm 24P/R with Switch</t>
  </si>
  <si>
    <t>Rotary Encoder with Switch</t>
  </si>
  <si>
    <t xml:space="preserve">https://grobotronics.com/rotary-encoder-12mm-24p-r-with-switch.html
</t>
  </si>
  <si>
    <t>74AHCT125</t>
  </si>
  <si>
    <t>Quad Level-Shifter</t>
  </si>
  <si>
    <t>https://grobotronics.com/74ahct125-quad-level-shifter.html</t>
  </si>
  <si>
    <t>SK6812</t>
  </si>
  <si>
    <t>LED SMD 5050 RGB Programmable</t>
  </si>
  <si>
    <t xml:space="preserve">https://grobotronics.com/led-8mm-rgb-programmable-ws2812-clone.html
</t>
  </si>
  <si>
    <t>74HCT595D</t>
  </si>
  <si>
    <t>Shift Register 8-Bit SMD</t>
  </si>
  <si>
    <t>https://grobotronics.com/shift-register-8-bit-smd-74hct595d.html</t>
  </si>
  <si>
    <t>Capacitor 1000uF</t>
  </si>
  <si>
    <t>Electrolytic Capacitor 16V 1000uF</t>
  </si>
  <si>
    <t>with 2.20 shipping from grobotronics for last 6 products</t>
  </si>
  <si>
    <t xml:space="preserve">https://grobotronics.com/electrolytic-capacitor-16v-1000ufoem.html
</t>
  </si>
  <si>
    <t>Πυκνωτής 100nf</t>
  </si>
  <si>
    <t>Πυκνωτής Κεραμικός 104(100nf)</t>
  </si>
  <si>
    <t>https://nettop.gr/index.php/hlektronika/capacitors/ceramic-capacitor/pyknotis-keramikos-104-100nf.html</t>
  </si>
  <si>
    <t>Raspberry Pi Pico</t>
  </si>
  <si>
    <t>Raspberry Pi Pico without Headers</t>
  </si>
  <si>
    <t>https://nettop.gr/index.php/raspberry-pi/pico/raspberry-pi-pico.html?src=raspberrypi</t>
  </si>
  <si>
    <t>1N4148</t>
  </si>
  <si>
    <t>Diode - 1N4148 Small Signal Fast Switching Diode</t>
  </si>
  <si>
    <t>with 2.30 shipping from nettop for last 3 products</t>
  </si>
  <si>
    <t>https://nettop.gr/index.php/hlektronika/diode/diode-1n4148-small-signal-fast-switching-diode.html</t>
  </si>
  <si>
    <t>Keychron K Pro Switches</t>
  </si>
  <si>
    <t>Keychron K Pro Switches Πληκτρολογίου, 110-pack</t>
  </si>
  <si>
    <t>in-store pickup</t>
  </si>
  <si>
    <t>https://www.public.gr/product/gaming/pc-gaming/pc-gaming-accessories/diafora-pc-gaming-accessories/keychron-k-pro-switches-pliktrologiou-110-pack/2090270</t>
  </si>
  <si>
    <t>Glorious Stabilizers V2</t>
  </si>
  <si>
    <t>https://shopflix.gr/p/SF-12868640/stabilizers-glorious-v2-gata1723-12843162</t>
  </si>
  <si>
    <t>Mountain Dolomite A Backlit Keycap Set</t>
  </si>
  <si>
    <t>with 5 shipping from shopflix for last 2 products</t>
  </si>
  <si>
    <t>https://www.skroutz.gr/s/57409660/Mountain-Dolomite-A-Backlit-Keycap-Set.html</t>
  </si>
  <si>
    <t>PCB</t>
  </si>
  <si>
    <t>PCB for JLCPCB</t>
  </si>
  <si>
    <t>with cheapest shipping</t>
  </si>
  <si>
    <t>https://shopflix.gr/p/SF-200097568/mountain-dolomite-a-backlit-keycap-set</t>
  </si>
  <si>
    <t>https://jlcpcb.com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</si>
</sst>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routz.gr/s/41242013/Glorious-Stabilizers-V2.html" TargetMode="External"/><Relationship Id="rId10" Type="http://schemas.openxmlformats.org/officeDocument/2006/relationships/hyperlink" Target="https://www.public.gr/product/gaming/pc-gaming/pc-gaming-accessories/diafora-pc-gaming-accessories/keychron-k-pro-switches-pliktrologiou-110-pack/2090270" TargetMode="External"/><Relationship Id="rId13" Type="http://schemas.openxmlformats.org/officeDocument/2006/relationships/hyperlink" Target="https://shopflix.gr/p/SF-200097568/mountain-dolomite-a-backlit-keycap-set" TargetMode="External"/><Relationship Id="rId12" Type="http://schemas.openxmlformats.org/officeDocument/2006/relationships/hyperlink" Target="https://www.skroutz.gr/s/57409660/Mountain-Dolomite-A-Backlit-Keycap-Set.html" TargetMode="External"/><Relationship Id="rId1" Type="http://schemas.openxmlformats.org/officeDocument/2006/relationships/hyperlink" Target="https://grobotronics.com/oled-module-0.91-128x32-i2c-white.html" TargetMode="External"/><Relationship Id="rId2" Type="http://schemas.openxmlformats.org/officeDocument/2006/relationships/hyperlink" Target="https://grobotronics.com/rotary-encoder-12mm-24p-r-with-switch.html" TargetMode="External"/><Relationship Id="rId3" Type="http://schemas.openxmlformats.org/officeDocument/2006/relationships/hyperlink" Target="https://grobotronics.com/74ahct125-quad-level-shifter.html" TargetMode="External"/><Relationship Id="rId4" Type="http://schemas.openxmlformats.org/officeDocument/2006/relationships/hyperlink" Target="https://grobotronics.com/led-8mm-rgb-programmable-ws2812-clone.html" TargetMode="External"/><Relationship Id="rId9" Type="http://schemas.openxmlformats.org/officeDocument/2006/relationships/hyperlink" Target="https://nettop.gr/index.php/hlektronika/diode/diode-1n4148-small-signal-fast-switching-diode.html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jlcpcb.com" TargetMode="External"/><Relationship Id="rId5" Type="http://schemas.openxmlformats.org/officeDocument/2006/relationships/hyperlink" Target="https://grobotronics.com/shift-register-8-bit-smd-74hct595d.html" TargetMode="External"/><Relationship Id="rId6" Type="http://schemas.openxmlformats.org/officeDocument/2006/relationships/hyperlink" Target="https://grobotronics.com/electrolytic-capacitor-16v-1000ufoem.html" TargetMode="External"/><Relationship Id="rId7" Type="http://schemas.openxmlformats.org/officeDocument/2006/relationships/hyperlink" Target="https://nettop.gr/index.php/hlektronika/capacitors/ceramic-capacitor/pyknotis-keramikos-104-100nf.html" TargetMode="External"/><Relationship Id="rId8" Type="http://schemas.openxmlformats.org/officeDocument/2006/relationships/hyperlink" Target="https://nettop.gr/index.php/raspberry-pi/pico/raspberry-pi-pico.html?src=raspberry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8.5"/>
    <col customWidth="1" min="4" max="4" width="26.63"/>
    <col customWidth="1" min="5" max="5" width="16.63"/>
    <col customWidth="1" min="6" max="6" width="29.88"/>
    <col customWidth="1" min="7" max="7" width="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1.0</v>
      </c>
      <c r="D2" s="1">
        <v>6.8</v>
      </c>
      <c r="E2" s="1">
        <v>6.8</v>
      </c>
      <c r="F2" s="1">
        <v>6.8</v>
      </c>
      <c r="H2" s="2" t="s">
        <v>10</v>
      </c>
    </row>
    <row r="3">
      <c r="A3" s="1" t="s">
        <v>11</v>
      </c>
      <c r="B3" s="1" t="s">
        <v>12</v>
      </c>
      <c r="C3" s="1">
        <v>2.0</v>
      </c>
      <c r="D3" s="1">
        <v>1.2</v>
      </c>
      <c r="E3" s="1">
        <v>2.4</v>
      </c>
      <c r="F3" s="1">
        <f>6.8+2.4</f>
        <v>9.2</v>
      </c>
      <c r="H3" s="3" t="s">
        <v>13</v>
      </c>
    </row>
    <row r="4">
      <c r="A4" s="1" t="s">
        <v>14</v>
      </c>
      <c r="B4" s="1" t="s">
        <v>15</v>
      </c>
      <c r="C4" s="1">
        <v>1.0</v>
      </c>
      <c r="D4" s="1">
        <v>0.5</v>
      </c>
      <c r="E4" s="1">
        <v>0.5</v>
      </c>
      <c r="F4" s="1">
        <v>9.7</v>
      </c>
      <c r="H4" s="2" t="s">
        <v>16</v>
      </c>
    </row>
    <row r="5">
      <c r="A5" s="1" t="s">
        <v>17</v>
      </c>
      <c r="B5" s="1" t="s">
        <v>18</v>
      </c>
      <c r="C5" s="1">
        <v>10.0</v>
      </c>
      <c r="D5" s="1">
        <v>0.3</v>
      </c>
      <c r="E5" s="1">
        <v>3.0</v>
      </c>
      <c r="F5" s="1">
        <v>12.7</v>
      </c>
      <c r="H5" s="3" t="s">
        <v>19</v>
      </c>
    </row>
    <row r="6">
      <c r="A6" s="1" t="s">
        <v>20</v>
      </c>
      <c r="B6" s="1" t="s">
        <v>21</v>
      </c>
      <c r="C6" s="1">
        <v>2.0</v>
      </c>
      <c r="D6" s="1">
        <v>0.8</v>
      </c>
      <c r="E6" s="1">
        <v>1.6</v>
      </c>
      <c r="F6" s="1">
        <v>14.3</v>
      </c>
      <c r="H6" s="2" t="s">
        <v>22</v>
      </c>
    </row>
    <row r="7">
      <c r="A7" s="1" t="s">
        <v>23</v>
      </c>
      <c r="B7" s="1" t="s">
        <v>24</v>
      </c>
      <c r="C7" s="1">
        <v>1.0</v>
      </c>
      <c r="D7" s="1">
        <v>0.2</v>
      </c>
      <c r="E7" s="1">
        <v>0.2</v>
      </c>
      <c r="F7" s="1">
        <v>16.7</v>
      </c>
      <c r="G7" s="1" t="s">
        <v>25</v>
      </c>
      <c r="H7" s="3" t="s">
        <v>26</v>
      </c>
    </row>
    <row r="8">
      <c r="A8" s="1" t="s">
        <v>27</v>
      </c>
      <c r="B8" s="1" t="s">
        <v>28</v>
      </c>
      <c r="C8" s="1">
        <v>2.0</v>
      </c>
      <c r="D8" s="1">
        <v>0.05</v>
      </c>
      <c r="E8" s="1">
        <v>0.1</v>
      </c>
      <c r="F8" s="1">
        <v>16.8</v>
      </c>
      <c r="H8" s="2" t="s">
        <v>29</v>
      </c>
    </row>
    <row r="9">
      <c r="A9" s="1" t="s">
        <v>30</v>
      </c>
      <c r="B9" s="1" t="s">
        <v>31</v>
      </c>
      <c r="C9" s="1">
        <v>1.0</v>
      </c>
      <c r="D9" s="1">
        <v>4.2</v>
      </c>
      <c r="E9" s="1">
        <v>4.2</v>
      </c>
      <c r="F9" s="4">
        <f>16.8+4.2</f>
        <v>21</v>
      </c>
      <c r="H9" s="2" t="s">
        <v>32</v>
      </c>
    </row>
    <row r="10">
      <c r="A10" s="1" t="s">
        <v>33</v>
      </c>
      <c r="B10" s="1" t="s">
        <v>34</v>
      </c>
      <c r="C10" s="1">
        <v>110.0</v>
      </c>
      <c r="D10" s="1">
        <v>0.04</v>
      </c>
      <c r="E10" s="1">
        <v>4.4</v>
      </c>
      <c r="F10" s="4">
        <f>21+4.4+2.3</f>
        <v>27.7</v>
      </c>
      <c r="G10" s="1" t="s">
        <v>35</v>
      </c>
      <c r="H10" s="2" t="s">
        <v>36</v>
      </c>
    </row>
    <row r="11">
      <c r="A11" s="1" t="s">
        <v>37</v>
      </c>
      <c r="B11" s="1" t="s">
        <v>38</v>
      </c>
      <c r="C11" s="1">
        <v>1.0</v>
      </c>
      <c r="D11" s="1">
        <v>17.48</v>
      </c>
      <c r="E11" s="1">
        <v>17.48</v>
      </c>
      <c r="F11" s="4">
        <f>17.48+27.7</f>
        <v>45.18</v>
      </c>
      <c r="G11" s="1" t="s">
        <v>39</v>
      </c>
      <c r="H11" s="2" t="s">
        <v>40</v>
      </c>
    </row>
    <row r="12">
      <c r="A12" s="1" t="s">
        <v>41</v>
      </c>
      <c r="B12" s="1" t="s">
        <v>41</v>
      </c>
      <c r="C12" s="1">
        <v>1.0</v>
      </c>
      <c r="D12" s="1">
        <v>4.99</v>
      </c>
      <c r="E12" s="1">
        <v>4.99</v>
      </c>
      <c r="F12" s="4">
        <f>45.18+4.99</f>
        <v>50.17</v>
      </c>
      <c r="H12" s="2" t="s">
        <v>42</v>
      </c>
    </row>
    <row r="13">
      <c r="A13" s="1" t="s">
        <v>43</v>
      </c>
      <c r="B13" s="1" t="s">
        <v>43</v>
      </c>
      <c r="C13" s="1">
        <v>1.0</v>
      </c>
      <c r="D13" s="1">
        <v>5.25</v>
      </c>
      <c r="E13" s="1">
        <v>5.25</v>
      </c>
      <c r="F13" s="1">
        <f>5.25+F12+5</f>
        <v>60.42</v>
      </c>
      <c r="G13" s="1" t="s">
        <v>44</v>
      </c>
      <c r="H13" s="2" t="s">
        <v>45</v>
      </c>
    </row>
    <row r="14">
      <c r="A14" s="1" t="s">
        <v>46</v>
      </c>
      <c r="B14" s="1" t="s">
        <v>47</v>
      </c>
      <c r="C14" s="1">
        <v>42.33</v>
      </c>
      <c r="D14" s="1">
        <v>42.33</v>
      </c>
      <c r="E14" s="1">
        <v>42.33</v>
      </c>
      <c r="F14" s="4">
        <f>F13+42.33</f>
        <v>102.75</v>
      </c>
      <c r="G14" s="1" t="s">
        <v>48</v>
      </c>
      <c r="H14" s="3" t="s">
        <v>49</v>
      </c>
    </row>
    <row r="15">
      <c r="H15" s="3" t="s">
        <v>50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</hyperlinks>
  <drawing r:id="rId15"/>
</worksheet>
</file>